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10440"/>
  </bookViews>
  <sheets>
    <sheet name="PhieuSua" sheetId="1" r:id="rId1"/>
    <sheet name="BangGiaSua" sheetId="2" r:id="rId2"/>
  </sheets>
  <definedNames>
    <definedName name="_xlnm._FilterDatabase" localSheetId="0" hidden="1">PhieuSua!$A$1:$G$16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<sst xmlns="http://schemas.openxmlformats.org/spreadsheetml/2006/main" count="69" uniqueCount="51">
  <si>
    <t>ma_ps</t>
  </si>
  <si>
    <t>ngay_nhan_may</t>
  </si>
  <si>
    <t>ma_sua</t>
  </si>
  <si>
    <t>so_may</t>
  </si>
  <si>
    <t>ten_sua</t>
  </si>
  <si>
    <t>gia_sua</t>
  </si>
  <si>
    <t>tien_sua</t>
  </si>
  <si>
    <t>PS004</t>
  </si>
  <si>
    <t>2026-06-04</t>
  </si>
  <si>
    <t>SM06</t>
  </si>
  <si>
    <t>PS014</t>
  </si>
  <si>
    <t>2026-06-14</t>
  </si>
  <si>
    <t>SM02</t>
  </si>
  <si>
    <t>PS009</t>
  </si>
  <si>
    <t>2026-06-09</t>
  </si>
  <si>
    <t>SM01</t>
  </si>
  <si>
    <t>PS003</t>
  </si>
  <si>
    <t>2026-06-03</t>
  </si>
  <si>
    <t>SM03</t>
  </si>
  <si>
    <t>PS012</t>
  </si>
  <si>
    <t>2026-06-12</t>
  </si>
  <si>
    <t>PS010</t>
  </si>
  <si>
    <t>2026-06-10</t>
  </si>
  <si>
    <t>PS006</t>
  </si>
  <si>
    <t>2026-06-06</t>
  </si>
  <si>
    <t>PS008</t>
  </si>
  <si>
    <t>2026-06-08</t>
  </si>
  <si>
    <t>SM04</t>
  </si>
  <si>
    <t>PS011</t>
  </si>
  <si>
    <t>2026-06-11</t>
  </si>
  <si>
    <t>PS001</t>
  </si>
  <si>
    <t>2026-06-01</t>
  </si>
  <si>
    <t>PS002</t>
  </si>
  <si>
    <t>2026-06-02</t>
  </si>
  <si>
    <t>PS007</t>
  </si>
  <si>
    <t>2026-06-07</t>
  </si>
  <si>
    <t>SM05</t>
  </si>
  <si>
    <t>PS013</t>
  </si>
  <si>
    <t>2026-06-13</t>
  </si>
  <si>
    <t>PS015</t>
  </si>
  <si>
    <t>2026-06-15</t>
  </si>
  <si>
    <t>PS005</t>
  </si>
  <si>
    <t>2026-06-05</t>
  </si>
  <si>
    <t>SM07</t>
  </si>
  <si>
    <t>Cai lai Windows</t>
  </si>
  <si>
    <t>Ve sinh laptop</t>
  </si>
  <si>
    <t>Thay keo tan nhiet</t>
  </si>
  <si>
    <t>Nang cap RAM</t>
  </si>
  <si>
    <t>Thay o cung SSD</t>
  </si>
  <si>
    <t>Sua ban phim</t>
  </si>
  <si>
    <t>Cuu du lieu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</si>
</sst>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16"/>
  <sheetViews>
    <sheetView tabSelected="1" workbookViewId="0">
      <selection activeCell="G1" sqref="G1"/>
    </sheetView>
  </sheetViews>
  <sheetFormatPr defaultColWidth="9" defaultRowHeight="14.4" outlineLevelCol="6"/>
  <cols>
    <col min="1" max="4" width="15" customWidth="1"/>
    <col min="5" max="5" width="17.5555555555556" customWidth="1"/>
    <col min="6" max="6" width="15" customWidth="1"/>
    <col min="7" max="7" width="14.333333333333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idden="1" spans="1:7">
      <c r="A2" t="s">
        <v>7</v>
      </c>
      <c r="B2" t="s">
        <v>8</v>
      </c>
      <c r="C2" t="s">
        <v>9</v>
      </c>
      <c r="D2">
        <v>1</v>
      </c>
      <c r="E2" t="str">
        <f>VLOOKUP(C2,BangGiaSua!$A$1:$C$8,2,0)</f>
        <v>Sua ban phim</v>
      </c>
      <c r="F2">
        <f>VLOOKUP(C2,BangGiaSua!$A$1:$C$8,3,0)</f>
        <v>400000</v>
      </c>
      <c r="G2">
        <f>(D2*F2)</f>
        <v>400000</v>
      </c>
    </row>
    <row r="3" hidden="1" spans="1:7">
      <c r="A3" t="s">
        <v>10</v>
      </c>
      <c r="B3" t="s">
        <v>11</v>
      </c>
      <c r="C3" t="s">
        <v>12</v>
      </c>
      <c r="D3">
        <v>2</v>
      </c>
      <c r="E3" t="str">
        <f>VLOOKUP(C3,BangGiaSua!$A$1:$C$8,2,0)</f>
        <v>Ve sinh laptop</v>
      </c>
      <c r="F3">
        <f>VLOOKUP(C3,BangGiaSua!$A$1:$C$8,3,0)</f>
        <v>200000</v>
      </c>
      <c r="G3">
        <f>(D3*F3)</f>
        <v>400000</v>
      </c>
    </row>
    <row r="4" hidden="1" spans="1:7">
      <c r="A4" t="s">
        <v>13</v>
      </c>
      <c r="B4" t="s">
        <v>14</v>
      </c>
      <c r="C4" t="s">
        <v>15</v>
      </c>
      <c r="D4">
        <v>3</v>
      </c>
      <c r="E4" t="str">
        <f>VLOOKUP(C4,BangGiaSua!$A$1:$C$8,2,0)</f>
        <v>Cai lai Windows</v>
      </c>
      <c r="F4">
        <f>VLOOKUP(C4,BangGiaSua!$A$1:$C$8,3,0)</f>
        <v>150000</v>
      </c>
      <c r="G4">
        <f>(D4*F4)</f>
        <v>450000</v>
      </c>
    </row>
    <row r="5" hidden="1" spans="1:7">
      <c r="A5" t="s">
        <v>16</v>
      </c>
      <c r="B5" t="s">
        <v>17</v>
      </c>
      <c r="C5" t="s">
        <v>18</v>
      </c>
      <c r="D5">
        <v>2</v>
      </c>
      <c r="E5" t="str">
        <f>VLOOKUP(C5,BangGiaSua!$A$1:$C$8,2,0)</f>
        <v>Thay keo tan nhiet</v>
      </c>
      <c r="F5">
        <f>VLOOKUP(C5,BangGiaSua!$A$1:$C$8,3,0)</f>
        <v>250000</v>
      </c>
      <c r="G5">
        <f>(D5*F5)</f>
        <v>500000</v>
      </c>
    </row>
    <row r="6" hidden="1" spans="1:7">
      <c r="A6" t="s">
        <v>19</v>
      </c>
      <c r="B6" t="s">
        <v>20</v>
      </c>
      <c r="C6" t="s">
        <v>12</v>
      </c>
      <c r="D6">
        <v>3</v>
      </c>
      <c r="E6" t="str">
        <f>VLOOKUP(C6,BangGiaSua!$A$1:$C$8,2,0)</f>
        <v>Ve sinh laptop</v>
      </c>
      <c r="F6">
        <f>VLOOKUP(C6,BangGiaSua!$A$1:$C$8,3,0)</f>
        <v>200000</v>
      </c>
      <c r="G6">
        <f>(D6*F6)</f>
        <v>600000</v>
      </c>
    </row>
    <row r="7" hidden="1" spans="1:7">
      <c r="A7" t="s">
        <v>21</v>
      </c>
      <c r="B7" t="s">
        <v>22</v>
      </c>
      <c r="C7" t="s">
        <v>18</v>
      </c>
      <c r="D7">
        <v>3</v>
      </c>
      <c r="E7" t="str">
        <f>VLOOKUP(C7,BangGiaSua!$A$1:$C$8,2,0)</f>
        <v>Thay keo tan nhiet</v>
      </c>
      <c r="F7">
        <f>VLOOKUP(C7,BangGiaSua!$A$1:$C$8,3,0)</f>
        <v>250000</v>
      </c>
      <c r="G7">
        <f>(D7*F7)</f>
        <v>750000</v>
      </c>
    </row>
    <row r="8" spans="1:7">
      <c r="A8" t="s">
        <v>23</v>
      </c>
      <c r="B8" t="s">
        <v>24</v>
      </c>
      <c r="C8" t="s">
        <v>9</v>
      </c>
      <c r="D8">
        <v>2</v>
      </c>
      <c r="E8" t="str">
        <f>VLOOKUP(C8,BangGiaSua!$A$1:$C$8,2,0)</f>
        <v>Sua ban phim</v>
      </c>
      <c r="F8">
        <f>VLOOKUP(C8,BangGiaSua!$A$1:$C$8,3,0)</f>
        <v>400000</v>
      </c>
      <c r="G8">
        <f>(D8*F8)</f>
        <v>800000</v>
      </c>
    </row>
    <row r="9" spans="1:7">
      <c r="A9" t="s">
        <v>25</v>
      </c>
      <c r="B9" t="s">
        <v>26</v>
      </c>
      <c r="C9" t="s">
        <v>27</v>
      </c>
      <c r="D9">
        <v>3</v>
      </c>
      <c r="E9" t="str">
        <f>VLOOKUP(C9,BangGiaSua!$A$1:$C$8,2,0)</f>
        <v>Nang cap RAM</v>
      </c>
      <c r="F9">
        <f>VLOOKUP(C9,BangGiaSua!$A$1:$C$8,3,0)</f>
        <v>350000</v>
      </c>
      <c r="G9">
        <f>(D9*F9)</f>
        <v>1050000</v>
      </c>
    </row>
    <row r="10" spans="1:7">
      <c r="A10" t="s">
        <v>28</v>
      </c>
      <c r="B10" t="s">
        <v>29</v>
      </c>
      <c r="C10" t="s">
        <v>9</v>
      </c>
      <c r="D10">
        <v>3</v>
      </c>
      <c r="E10" t="str">
        <f>VLOOKUP(C10,BangGiaSua!$A$1:$C$8,2,0)</f>
        <v>Sua ban phim</v>
      </c>
      <c r="F10">
        <f>VLOOKUP(C10,BangGiaSua!$A$1:$C$8,3,0)</f>
        <v>400000</v>
      </c>
      <c r="G10">
        <f>(D10*F10)</f>
        <v>1200000</v>
      </c>
    </row>
    <row r="11" spans="1:7">
      <c r="A11" t="s">
        <v>30</v>
      </c>
      <c r="B11" t="s">
        <v>31</v>
      </c>
      <c r="C11" t="s">
        <v>18</v>
      </c>
      <c r="D11">
        <v>5</v>
      </c>
      <c r="E11" t="str">
        <f>VLOOKUP(C11,BangGiaSua!$A$1:$C$8,2,0)</f>
        <v>Thay keo tan nhiet</v>
      </c>
      <c r="F11">
        <f>VLOOKUP(C11,BangGiaSua!$A$1:$C$8,3,0)</f>
        <v>250000</v>
      </c>
      <c r="G11">
        <f>(D11*F11)</f>
        <v>1250000</v>
      </c>
    </row>
    <row r="12" spans="1:7">
      <c r="A12" t="s">
        <v>32</v>
      </c>
      <c r="B12" t="s">
        <v>33</v>
      </c>
      <c r="C12" t="s">
        <v>9</v>
      </c>
      <c r="D12">
        <v>4</v>
      </c>
      <c r="E12" t="str">
        <f>VLOOKUP(C12,BangGiaSua!$A$1:$C$8,2,0)</f>
        <v>Sua ban phim</v>
      </c>
      <c r="F12">
        <f>VLOOKUP(C12,BangGiaSua!$A$1:$C$8,3,0)</f>
        <v>400000</v>
      </c>
      <c r="G12">
        <f>(D12*F12)</f>
        <v>1600000</v>
      </c>
    </row>
    <row r="13" spans="1:7">
      <c r="A13" t="s">
        <v>34</v>
      </c>
      <c r="B13" t="s">
        <v>35</v>
      </c>
      <c r="C13" t="s">
        <v>36</v>
      </c>
      <c r="D13">
        <v>3</v>
      </c>
      <c r="E13" t="str">
        <f>VLOOKUP(C13,BangGiaSua!$A$1:$C$8,2,0)</f>
        <v>Thay o cung SSD</v>
      </c>
      <c r="F13">
        <f>VLOOKUP(C13,BangGiaSua!$A$1:$C$8,3,0)</f>
        <v>600000</v>
      </c>
      <c r="G13">
        <f>(D13*F13)</f>
        <v>1800000</v>
      </c>
    </row>
    <row r="14" spans="1:7">
      <c r="A14" t="s">
        <v>37</v>
      </c>
      <c r="B14" t="s">
        <v>38</v>
      </c>
      <c r="C14" t="s">
        <v>36</v>
      </c>
      <c r="D14">
        <v>3</v>
      </c>
      <c r="E14" t="str">
        <f>VLOOKUP(C14,BangGiaSua!$A$1:$C$8,2,0)</f>
        <v>Thay o cung SSD</v>
      </c>
      <c r="F14">
        <f>VLOOKUP(C14,BangGiaSua!$A$1:$C$8,3,0)</f>
        <v>600000</v>
      </c>
      <c r="G14">
        <f>(D14*F14)</f>
        <v>1800000</v>
      </c>
    </row>
    <row r="15" spans="1:7">
      <c r="A15" t="s">
        <v>39</v>
      </c>
      <c r="B15" t="s">
        <v>40</v>
      </c>
      <c r="C15" t="s">
        <v>36</v>
      </c>
      <c r="D15">
        <v>5</v>
      </c>
      <c r="E15" t="str">
        <f>VLOOKUP(C15,BangGiaSua!$A$1:$C$8,2,0)</f>
        <v>Thay o cung SSD</v>
      </c>
      <c r="F15">
        <f>VLOOKUP(C15,BangGiaSua!$A$1:$C$8,3,0)</f>
        <v>600000</v>
      </c>
      <c r="G15">
        <f>(D15*F15)</f>
        <v>3000000</v>
      </c>
    </row>
    <row r="16" spans="1:7">
      <c r="A16" t="s">
        <v>41</v>
      </c>
      <c r="B16" t="s">
        <v>42</v>
      </c>
      <c r="C16" t="s">
        <v>43</v>
      </c>
      <c r="D16">
        <v>5</v>
      </c>
      <c r="E16" t="str">
        <f>VLOOKUP(C16,BangGiaSua!$A$1:$C$8,2,0)</f>
        <v>Cuu du lieu</v>
      </c>
      <c r="F16">
        <f>VLOOKUP(C16,BangGiaSua!$A$1:$C$8,3,0)</f>
        <v>800000</v>
      </c>
      <c r="G16">
        <f>(D16*F16)</f>
        <v>4000000</v>
      </c>
    </row>
  </sheetData>
  <autoFilter xmlns:etc="http://www.wps.cn/officeDocument/2017/etCustomData" ref="A1:G16" etc:filterBottomFollowUsedRange="0">
    <filterColumn colId="6">
      <customFilters>
        <customFilter operator="greaterThanOrEqual" val="800000"/>
      </customFilters>
    </filterColumn>
    <sortState ref="A2:G16">
      <sortCondition ref="G1"/>
    </sortState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A1"/>
    </sheetView>
  </sheetViews>
  <sheetFormatPr defaultColWidth="9" defaultRowHeight="14.4" outlineLevelRow="7" outlineLevelCol="2"/>
  <cols>
    <col min="1" max="7" width="15" customWidth="1"/>
  </cols>
  <sheetData>
    <row r="1" spans="1:3">
      <c r="A1" t="s">
        <v>2</v>
      </c>
      <c r="B1" t="s">
        <v>4</v>
      </c>
      <c r="C1" t="s">
        <v>5</v>
      </c>
    </row>
    <row r="2" spans="1:3">
      <c r="A2" t="s">
        <v>15</v>
      </c>
      <c r="B2" t="s">
        <v>44</v>
      </c>
      <c r="C2">
        <v>150000</v>
      </c>
    </row>
    <row r="3" spans="1:3">
      <c r="A3" t="s">
        <v>12</v>
      </c>
      <c r="B3" t="s">
        <v>45</v>
      </c>
      <c r="C3">
        <v>200000</v>
      </c>
    </row>
    <row r="4" spans="1:3">
      <c r="A4" t="s">
        <v>18</v>
      </c>
      <c r="B4" t="s">
        <v>46</v>
      </c>
      <c r="C4">
        <v>250000</v>
      </c>
    </row>
    <row r="5" spans="1:3">
      <c r="A5" t="s">
        <v>27</v>
      </c>
      <c r="B5" t="s">
        <v>47</v>
      </c>
      <c r="C5">
        <v>350000</v>
      </c>
    </row>
    <row r="6" spans="1:3">
      <c r="A6" t="s">
        <v>36</v>
      </c>
      <c r="B6" t="s">
        <v>48</v>
      </c>
      <c r="C6">
        <v>600000</v>
      </c>
    </row>
    <row r="7" spans="1:3">
      <c r="A7" t="s">
        <v>9</v>
      </c>
      <c r="B7" t="s">
        <v>49</v>
      </c>
      <c r="C7">
        <v>400000</v>
      </c>
    </row>
    <row r="8" spans="1:3">
      <c r="A8" t="s">
        <v>43</v>
      </c>
      <c r="B8" t="s">
        <v>50</v>
      </c>
      <c r="C8">
        <v>800000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PhieuSua</vt:lpstr>
      <vt:lpstr>BangGiaSua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Vinh Phạm</cp:lastModifiedBy>
  <dcterms:created xsi:type="dcterms:W3CDTF">2026-10-27T01:32:00Z</dcterms:created>
  <dcterms:modified xsi:type="dcterms:W3CDTF">2026-10-28T02:06:38Z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BE29B03D127740E28E61A25B0828BECB_12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